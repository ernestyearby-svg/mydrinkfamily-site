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75a38fa97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stor Summary" sheetId="1" r:id="R5080d03a9e714ffd"/>
    <x:sheet xmlns:r="http://schemas.openxmlformats.org/officeDocument/2006/relationships" name="Three-Year Financials" sheetId="2" r:id="Rd41daf7d869645e1"/>
    <x:sheet xmlns:r="http://schemas.openxmlformats.org/officeDocument/2006/relationships" name="Assumptions" sheetId="3" r:id="Rba89d46d9dce42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($#,##0);-"/>
    <x:numFmt numFmtId="201" formatCode="0.0%"/>
    <x:numFmt numFmtId="202" formatCode="#,##0.0"/>
    <x:numFmt numFmtId="203" formatCode="#,##0"/>
    <x:numFmt numFmtId="204" formatCode="$0.00"/>
  </x:numFmts>
  <x:fonts count="11">
    <x:font>
      <x:sz val="11"/>
      <x:name val="Carlito"/>
    </x:font>
    <x:font>
      <x:sz val="10"/>
      <x:color rgb="FF11100E"/>
      <x:name val="Aptos"/>
    </x:font>
    <x:font>
      <x:b/>
      <x:sz val="11"/>
      <x:color rgb="FFFFFFFF"/>
      <x:name val="Aptos"/>
    </x:font>
    <x:font>
      <x:sz val="10"/>
      <x:color rgb="FF11100E"/>
      <x:name val="Aptos"/>
    </x:font>
    <x:font>
      <x:b/>
      <x:sz val="10"/>
      <x:color rgb="FF11100E"/>
      <x:name val="Aptos"/>
    </x:font>
    <x:font>
      <x:b/>
      <x:sz val="10"/>
      <x:color rgb="FFFFFFFF"/>
      <x:name val="Aptos"/>
    </x:font>
    <x:font>
      <x:b/>
      <x:sz val="16"/>
      <x:color rgb="FF11100E"/>
      <x:name val="Aptos"/>
    </x:font>
    <x:font>
      <x:i/>
      <x:sz val="10"/>
      <x:color rgb="FF746F67"/>
      <x:name val="Aptos"/>
    </x:font>
    <x:font>
      <x:b/>
      <x:sz val="15"/>
      <x:color rgb="FFD86D2A"/>
      <x:name val="Aptos"/>
    </x:font>
    <x:font>
      <x:sz val="9"/>
      <x:color rgb="FF746F67"/>
      <x:name val="Aptos"/>
    </x:font>
    <x:font>
      <x:b/>
      <x:sz val="10"/>
      <x:color rgb="FFA54759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1100E"/>
      </x:patternFill>
    </x:fill>
    <x:fill>
      <x:patternFill patternType="solid">
        <x:fgColor rgb="FFB8934D"/>
      </x:patternFill>
    </x:fill>
    <x:fill>
      <x:patternFill patternType="solid">
        <x:fgColor rgb="FFF7F1E6"/>
      </x:patternFill>
    </x:fill>
    <x:fill>
      <x:patternFill patternType="solid">
        <x:fgColor rgb="FFFBE7E3"/>
      </x:patternFill>
    </x:fill>
  </x:fills>
  <x:borders count="10">
    <x:border/>
    <x:border>
      <x:bottom style="thin">
        <x:color rgb="FFD9D1C5"/>
      </x:bottom>
    </x:border>
    <x:border>
      <x:top style="thin">
        <x:color rgb="FFD9D1C5"/>
      </x:top>
      <x:bottom style="thin">
        <x:color rgb="FFD9D1C5"/>
      </x:bottom>
    </x:border>
    <x:border>
      <x:left style="thin">
        <x:color rgb="FFD7CDBE"/>
      </x:left>
      <x:top style="thin">
        <x:color rgb="FFD7CDBE"/>
      </x:top>
    </x:border>
    <x:border>
      <x:right style="thin">
        <x:color rgb="FFD7CDBE"/>
      </x:right>
      <x:top style="thin">
        <x:color rgb="FFD7CDBE"/>
      </x:top>
    </x:border>
    <x:border>
      <x:left style="thin">
        <x:color rgb="FFD7CDBE"/>
      </x:left>
      <x:bottom style="thin">
        <x:color rgb="FFD7CDBE"/>
      </x:bottom>
    </x:border>
    <x:border>
      <x:right style="thin">
        <x:color rgb="FFD7CDBE"/>
      </x:right>
      <x:bottom style="thin">
        <x:color rgb="FFD7CDBE"/>
      </x:bottom>
    </x:border>
    <x:border>
      <x:bottom style="thin">
        <x:color rgb="FFDDD5C9"/>
      </x:bottom>
    </x:border>
    <x:border>
      <x:top style="thin">
        <x:color rgb="FFDDD5C9"/>
      </x:top>
      <x:bottom style="thin">
        <x:color rgb="FFDDD5C9"/>
      </x:bottom>
    </x:border>
    <x:border>
      <x:top style="thin">
        <x:color rgb="FFDDD5C9"/>
      </x:top>
    </x:border>
  </x:borders>
  <x:cellStyleXfs count="1">
    <x:xf numFmtId="0" fontId="0" fillId="0" borderId="0"/>
  </x:cellStyleXfs>
  <x:cellXfs count="9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3" fillId="0" borderId="1" xfId="0" applyNumberFormat="1" applyFont="1" applyFill="1" applyBorder="1"/>
    <x:xf numFmtId="200" fontId="1" fillId="0" borderId="1" xfId="0" applyNumberFormat="1" applyFont="1" applyFill="1" applyBorder="1"/>
    <x:xf numFmtId="0" fontId="3" fillId="0" borderId="2" xfId="0" applyNumberFormat="1" applyFont="1" applyFill="1" applyBorder="1"/>
    <x:xf numFmtId="200" fontId="1" fillId="0" borderId="2" xfId="0" applyNumberFormat="1" applyFont="1" applyFill="1" applyBorder="1"/>
    <x:xf numFmtId="0" fontId="4" fillId="0" borderId="2" xfId="0" applyNumberFormat="1" applyFont="1" applyFill="1" applyBorder="1"/>
    <x:xf numFmtId="200" fontId="4" fillId="0" borderId="2" xfId="0" applyNumberFormat="1" applyFont="1" applyFill="1" applyBorder="1"/>
    <x:xf numFmtId="201" fontId="1" fillId="0" borderId="2" xfId="0" applyNumberFormat="1" applyFont="1" applyFill="1" applyBorder="1"/>
    <x:xf numFmtId="201" fontId="4" fillId="0" borderId="2" xfId="0" applyNumberFormat="1" applyFont="1" applyFill="1" applyBorder="1"/>
    <x:xf numFmtId="202" fontId="1" fillId="0" borderId="2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3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 applyAlignment="1">
      <x:alignment horizontal="center"/>
    </x:xf>
    <x:xf numFmtId="0" fontId="1" fillId="4" borderId="5" xfId="0" applyNumberFormat="1" applyFont="1" applyFill="1" applyBorder="1" applyAlignment="1">
      <x:alignment horizontal="center"/>
    </x:xf>
    <x:xf numFmtId="0" fontId="1" fillId="4" borderId="6" xfId="0" applyNumberFormat="1" applyFont="1" applyFill="1" applyBorder="1" applyAlignment="1">
      <x:alignment horizontal="center"/>
    </x:xf>
    <x:xf numFmtId="0" fontId="1" fillId="4" borderId="3" xfId="0" applyNumberFormat="1" applyFont="1" applyFill="1" applyBorder="1" applyAlignment="1">
      <x:alignment horizontal="center" vertical="center"/>
    </x:xf>
    <x:xf numFmtId="0" fontId="1" fillId="4" borderId="4" xfId="0" applyNumberFormat="1" applyFont="1" applyFill="1" applyBorder="1" applyAlignment="1">
      <x:alignment horizontal="center" vertical="center"/>
    </x:xf>
    <x:xf numFmtId="0" fontId="1" fillId="4" borderId="5" xfId="0" applyNumberFormat="1" applyFont="1" applyFill="1" applyBorder="1" applyAlignment="1">
      <x:alignment horizontal="center" vertical="center"/>
    </x:xf>
    <x:xf numFmtId="0" fontId="1" fillId="4" borderId="6" xfId="0" applyNumberFormat="1" applyFont="1" applyFill="1" applyBorder="1" applyAlignment="1">
      <x:alignment horizontal="center" vertical="center"/>
    </x:xf>
    <x:xf numFmtId="0" fontId="8" fillId="4" borderId="3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4" borderId="5" xfId="0" applyNumberFormat="1" applyFont="1" applyFill="1" applyBorder="1" applyAlignment="1">
      <x:alignment horizontal="center" vertical="center"/>
    </x:xf>
    <x:xf numFmtId="0" fontId="9" fillId="4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/>
    <x:xf numFmtId="200" fontId="1" fillId="0" borderId="7" xfId="0" applyNumberFormat="1" applyFont="1" applyFill="1" applyBorder="1"/>
    <x:xf numFmtId="0" fontId="1" fillId="0" borderId="8" xfId="0" applyNumberFormat="1" applyFont="1" applyFill="1" applyBorder="1"/>
    <x:xf numFmtId="201" fontId="1" fillId="0" borderId="8" xfId="0" applyNumberFormat="1" applyFont="1" applyFill="1" applyBorder="1"/>
    <x:xf numFmtId="200" fontId="1" fillId="0" borderId="8" xfId="0" applyNumberFormat="1" applyFont="1" applyFill="1" applyBorder="1"/>
    <x:xf numFmtId="0" fontId="4" fillId="0" borderId="8" xfId="0" applyNumberFormat="1" applyFont="1" applyFill="1" applyBorder="1"/>
    <x:xf numFmtId="200" fontId="4" fillId="0" borderId="8" xfId="0" applyNumberFormat="1" applyFont="1" applyFill="1" applyBorder="1"/>
    <x:xf numFmtId="201" fontId="4" fillId="0" borderId="8" xfId="0" applyNumberFormat="1" applyFont="1" applyFill="1" applyBorder="1"/>
    <x:xf numFmtId="203" fontId="1" fillId="0" borderId="0" xfId="0" applyNumberFormat="1" applyFont="1" applyFill="1" applyBorder="1"/>
    <x:xf numFmtId="0" fontId="1" fillId="0" borderId="9" xfId="0" applyNumberFormat="1" applyFont="1" applyFill="1" applyBorder="1"/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204" fontId="1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3dcb2be09a4db2" /><Relationship Type="http://schemas.openxmlformats.org/officeDocument/2006/relationships/theme" Target="/xl/theme/theme1.xml" Id="Rd18f4d38ea224dab" /><Relationship Type="http://schemas.openxmlformats.org/officeDocument/2006/relationships/sharedStrings" Target="/xl/sharedStrings.xml" Id="R83322c0ede714473" /><Relationship Type="http://schemas.openxmlformats.org/officeDocument/2006/relationships/worksheet" Target="/xl/worksheets/sheet1.xml" Id="R5080d03a9e714ffd" /><Relationship Type="http://schemas.openxmlformats.org/officeDocument/2006/relationships/worksheet" Target="/xl/worksheets/sheet2.xml" Id="Rd41daf7d869645e1" /><Relationship Type="http://schemas.openxmlformats.org/officeDocument/2006/relationships/worksheet" Target="/xl/worksheets/sheet3.xml" Id="Rba89d46d9dce42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1100E"/>
  </x:sheetPr>
  <x:sheetViews>
    <x:sheetView showGridLines="0" workbookViewId="0"/>
  </x:sheetViews>
  <x:sheetFormatPr defaultRowHeight="15"/>
  <x:cols>
    <x:col min="3" max="3" width="2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76" t="str">
        <x:v>MYMOSA | THREE-YEAR FINANCIAL OUTLOOK</x:v>
      </x:c>
      <x:c r="D2" s="27"/>
      <x:c r="E2" s="27"/>
      <x:c r="F2" s="27"/>
      <x:c r="G2" s="27"/>
      <x:c r="H2" s="27"/>
      <x:c r="I2" s="27"/>
      <x:c r="J2" s="27"/>
      <x:c r="K2" s="1"/>
      <x:c r="L2" s="1"/>
      <x:c r="M2" s="1"/>
      <x:c r="N2" s="1"/>
    </x:row>
    <x:row r="3">
      <x:c r="A3" s="1"/>
      <x:c r="B3" s="1"/>
      <x:c r="C3" s="77" t="str">
        <x:v>2027-2029 Base Case management forecast | Houston relaunch | Confidential investor preview</x:v>
      </x:c>
      <x:c r="D3" s="27"/>
      <x:c r="E3" s="27"/>
      <x:c r="F3" s="27"/>
      <x:c r="G3" s="27"/>
      <x:c r="H3" s="27"/>
      <x:c r="I3" s="27"/>
      <x:c r="J3" s="27"/>
      <x:c r="K3" s="1"/>
      <x:c r="L3" s="1"/>
      <x:c r="M3" s="1"/>
      <x:c r="N3" s="1"/>
    </x:row>
    <x:row r="4">
      <x:c r="A4" s="1"/>
      <x:c r="B4" s="1"/>
      <x:c r="C4" s="27"/>
      <x:c r="D4" s="27"/>
      <x:c r="E4" s="27"/>
      <x:c r="F4" s="27"/>
      <x:c r="G4" s="27"/>
      <x:c r="H4" s="27"/>
      <x:c r="I4" s="27"/>
      <x:c r="J4" s="27"/>
      <x:c r="K4" s="1"/>
      <x:c r="L4" s="1"/>
      <x:c r="M4" s="1"/>
      <x:c r="N4" s="1"/>
    </x:row>
    <x:row r="5">
      <x:c r="A5" s="1"/>
      <x:c r="B5" s="1"/>
      <x:c r="C5" s="55" t="str">
        <x:v>$2.17M</x:v>
      </x:c>
      <x:c r="D5" s="56"/>
      <x:c r="E5" s="55" t="str">
        <x:v>$495,610</x:v>
      </x:c>
      <x:c r="F5" s="56"/>
      <x:c r="G5" s="55" t="str">
        <x:v>48.4%</x:v>
      </x:c>
      <x:c r="H5" s="56"/>
      <x:c r="I5" s="55" t="str">
        <x:v>432</x:v>
      </x:c>
      <x:c r="J5" s="56"/>
      <x:c r="K5" s="1"/>
      <x:c r="L5" s="1"/>
      <x:c r="M5" s="1"/>
      <x:c r="N5" s="1"/>
    </x:row>
    <x:row r="6">
      <x:c r="A6" s="1"/>
      <x:c r="B6" s="1"/>
      <x:c r="C6" s="57" t="str">
        <x:v>Three-year net revenue</x:v>
      </x:c>
      <x:c r="D6" s="58"/>
      <x:c r="E6" s="57" t="str">
        <x:v>Cumulative preliminary EBITDA</x:v>
      </x:c>
      <x:c r="F6" s="58"/>
      <x:c r="G6" s="57" t="str">
        <x:v>Gross margin</x:v>
      </x:c>
      <x:c r="H6" s="58"/>
      <x:c r="I6" s="57" t="str">
        <x:v>2029 ending active accounts</x:v>
      </x:c>
      <x:c r="J6" s="58"/>
      <x:c r="K6" s="1"/>
      <x:c r="L6" s="1"/>
      <x:c r="M6" s="1"/>
      <x:c r="N6" s="1"/>
    </x:row>
    <x:row r="7">
      <x:c r="A7" s="1"/>
      <x:c r="B7" s="1"/>
      <x:c r="C7" s="27"/>
      <x:c r="D7" s="27"/>
      <x:c r="E7" s="27"/>
      <x:c r="F7" s="27"/>
      <x:c r="G7" s="27"/>
      <x:c r="H7" s="27"/>
      <x:c r="I7" s="27"/>
      <x:c r="J7" s="27"/>
      <x:c r="K7" s="1"/>
      <x:c r="L7" s="1"/>
      <x:c r="M7" s="1"/>
      <x:c r="N7" s="1"/>
    </x:row>
    <x:row r="8">
      <x:c r="A8" s="1"/>
      <x:c r="B8" s="1"/>
      <x:c r="C8" s="27"/>
      <x:c r="D8" s="27"/>
      <x:c r="E8" s="27"/>
      <x:c r="F8" s="27"/>
      <x:c r="G8" s="27"/>
      <x:c r="H8" s="27"/>
      <x:c r="I8" s="27"/>
      <x:c r="J8" s="27"/>
      <x:c r="K8" s="1"/>
      <x:c r="L8" s="1"/>
      <x:c r="M8" s="1"/>
      <x:c r="N8" s="1"/>
    </x:row>
    <x:row r="9">
      <x:c r="A9" s="1"/>
      <x:c r="B9" s="1"/>
      <x:c r="C9" s="28" t="str">
        <x:v>Financial outlook</x:v>
      </x:c>
      <x:c r="D9" s="28" t="n">
        <x:v>2027</x:v>
      </x:c>
      <x:c r="E9" s="28" t="n">
        <x:v>2028</x:v>
      </x:c>
      <x:c r="F9" s="28" t="n">
        <x:v>2029</x:v>
      </x:c>
      <x:c r="G9" s="27"/>
      <x:c r="H9" s="27"/>
      <x:c r="I9" s="27"/>
      <x:c r="J9" s="27"/>
      <x:c r="K9" s="1"/>
      <x:c r="L9" s="1"/>
      <x:c r="M9" s="1"/>
      <x:c r="N9" s="1"/>
    </x:row>
    <x:row r="10">
      <x:c r="A10" s="1"/>
      <x:c r="B10" s="1"/>
      <x:c r="C10" s="78" t="str">
        <x:f>'Three-Year Financials'!C6</x:f>
        <x:v>Net revenue</x:v>
      </x:c>
      <x:c r="D10" s="79" t="n">
        <x:f>'Three-Year Financials'!D6</x:f>
        <x:v>278438.35</x:v>
      </x:c>
      <x:c r="E10" s="79" t="n">
        <x:f>'Three-Year Financials'!E6</x:f>
        <x:v>690581.6</x:v>
      </x:c>
      <x:c r="F10" s="79" t="n">
        <x:f>'Three-Year Financials'!F6</x:f>
        <x:v>1204371.05</x:v>
      </x:c>
      <x:c r="G10" s="27"/>
      <x:c r="H10" s="27"/>
      <x:c r="I10" s="27"/>
      <x:c r="J10" s="27"/>
      <x:c r="K10" s="1"/>
      <x:c r="L10" s="1"/>
      <x:c r="M10" s="1"/>
      <x:c r="N10" s="1"/>
    </x:row>
    <x:row r="11">
      <x:c r="A11" s="1"/>
      <x:c r="B11" s="1"/>
      <x:c r="C11" s="80" t="str">
        <x:f>'Three-Year Financials'!C7</x:f>
        <x:v>Provisional COGS</x:v>
      </x:c>
      <x:c r="D11" s="81" t="n">
        <x:f>'Three-Year Financials'!D7</x:f>
        <x:v>143562</x:v>
      </x:c>
      <x:c r="E11" s="81" t="n">
        <x:f>'Three-Year Financials'!E7</x:f>
        <x:v>356052</x:v>
      </x:c>
      <x:c r="F11" s="81" t="n">
        <x:f>'Three-Year Financials'!F7</x:f>
        <x:v>620947.5</x:v>
      </x:c>
      <x:c r="G11" s="27"/>
      <x:c r="H11" s="27"/>
      <x:c r="I11" s="27"/>
      <x:c r="J11" s="27"/>
      <x:c r="K11" s="1"/>
      <x:c r="L11" s="1"/>
      <x:c r="M11" s="1"/>
      <x:c r="N11" s="1"/>
    </x:row>
    <x:row r="12">
      <x:c r="A12" s="1"/>
      <x:c r="B12" s="1"/>
      <x:c r="C12" s="82" t="str">
        <x:f>'Three-Year Financials'!C8</x:f>
        <x:v>Gross profit</x:v>
      </x:c>
      <x:c r="D12" s="83" t="n">
        <x:f>'Three-Year Financials'!D8</x:f>
        <x:v>134876.35</x:v>
      </x:c>
      <x:c r="E12" s="83" t="n">
        <x:f>'Three-Year Financials'!E8</x:f>
        <x:v>334529.6</x:v>
      </x:c>
      <x:c r="F12" s="83" t="n">
        <x:f>'Three-Year Financials'!F8</x:f>
        <x:v>583423.55</x:v>
      </x:c>
      <x:c r="G12" s="27"/>
      <x:c r="H12" s="27"/>
      <x:c r="I12" s="27"/>
      <x:c r="J12" s="27"/>
      <x:c r="K12" s="1"/>
      <x:c r="L12" s="1"/>
      <x:c r="M12" s="1"/>
      <x:c r="N12" s="1"/>
    </x:row>
    <x:row r="13">
      <x:c r="A13" s="1"/>
      <x:c r="B13" s="1"/>
      <x:c r="C13" s="80" t="str">
        <x:f>'Three-Year Financials'!C9</x:f>
        <x:v>Gross margin</x:v>
      </x:c>
      <x:c r="D13" s="84" t="n">
        <x:f>'Three-Year Financials'!D9</x:f>
        <x:v>0.4844029208</x:v>
      </x:c>
      <x:c r="E13" s="84" t="n">
        <x:f>'Three-Year Financials'!E9</x:f>
        <x:v>0.4844171927</x:v>
      </x:c>
      <x:c r="F13" s="84" t="n">
        <x:f>'Three-Year Financials'!F9</x:f>
        <x:v>0.4844217652</x:v>
      </x:c>
      <x:c r="G13" s="27"/>
      <x:c r="H13" s="27"/>
      <x:c r="I13" s="27"/>
      <x:c r="J13" s="27"/>
      <x:c r="K13" s="1"/>
      <x:c r="L13" s="1"/>
      <x:c r="M13" s="1"/>
      <x:c r="N13" s="1"/>
    </x:row>
    <x:row r="14">
      <x:c r="A14" s="1"/>
      <x:c r="B14" s="1"/>
      <x:c r="C14" s="80" t="str">
        <x:f>'Three-Year Financials'!C10</x:f>
        <x:v>Operating expenses</x:v>
      </x:c>
      <x:c r="D14" s="84" t="n">
        <x:f>'Three-Year Financials'!D10</x:f>
        <x:v>156000</x:v>
      </x:c>
      <x:c r="E14" s="84" t="n">
        <x:f>'Three-Year Financials'!E10</x:f>
        <x:v>185400</x:v>
      </x:c>
      <x:c r="F14" s="84" t="n">
        <x:f>'Three-Year Financials'!F10</x:f>
        <x:v>215820</x:v>
      </x:c>
      <x:c r="G14" s="27"/>
      <x:c r="H14" s="27"/>
      <x:c r="I14" s="27"/>
      <x:c r="J14" s="27"/>
      <x:c r="K14" s="1"/>
      <x:c r="L14" s="1"/>
      <x:c r="M14" s="1"/>
      <x:c r="N14" s="1"/>
    </x:row>
    <x:row r="15">
      <x:c r="A15" s="1"/>
      <x:c r="B15" s="1"/>
      <x:c r="C15" s="82" t="str">
        <x:f>'Three-Year Financials'!C11</x:f>
        <x:v>Preliminary EBITDA</x:v>
      </x:c>
      <x:c r="D15" s="83" t="n">
        <x:f>'Three-Year Financials'!D11</x:f>
        <x:v>-21123.65</x:v>
      </x:c>
      <x:c r="E15" s="83" t="n">
        <x:f>'Three-Year Financials'!E11</x:f>
        <x:v>149129.6</x:v>
      </x:c>
      <x:c r="F15" s="83" t="n">
        <x:f>'Three-Year Financials'!F11</x:f>
        <x:v>367603.55</x:v>
      </x:c>
      <x:c r="G15" s="27"/>
      <x:c r="H15" s="27"/>
      <x:c r="I15" s="27"/>
      <x:c r="J15" s="27"/>
      <x:c r="K15" s="1"/>
      <x:c r="L15" s="1"/>
      <x:c r="M15" s="1"/>
      <x:c r="N15" s="1"/>
    </x:row>
    <x:row r="16">
      <x:c r="A16" s="1"/>
      <x:c r="B16" s="1"/>
      <x:c r="C16" s="82" t="str">
        <x:f>'Three-Year Financials'!C12</x:f>
        <x:v>EBITDA margin</x:v>
      </x:c>
      <x:c r="D16" s="85" t="n">
        <x:f>'Three-Year Financials'!D12</x:f>
        <x:v>-0.0758647291</x:v>
      </x:c>
      <x:c r="E16" s="85" t="n">
        <x:f>'Three-Year Financials'!E12</x:f>
        <x:v>0.215947833</x:v>
      </x:c>
      <x:c r="F16" s="85" t="n">
        <x:f>'Three-Year Financials'!F12</x:f>
        <x:v>0.3052244987</x:v>
      </x:c>
      <x:c r="G16" s="27"/>
      <x:c r="H16" s="27"/>
      <x:c r="I16" s="27"/>
      <x:c r="J16" s="27"/>
      <x:c r="K16" s="1"/>
      <x:c r="L16" s="1"/>
      <x:c r="M16" s="1"/>
      <x:c r="N16" s="1"/>
    </x:row>
    <x:row r="17">
      <x:c r="A17" s="1"/>
      <x:c r="B17" s="1"/>
      <x:c r="C17" s="27"/>
      <x:c r="D17" s="27"/>
      <x:c r="E17" s="27"/>
      <x:c r="F17" s="27"/>
      <x:c r="G17" s="27"/>
      <x:c r="H17" s="27"/>
      <x:c r="I17" s="27"/>
      <x:c r="J17" s="27"/>
      <x:c r="K17" s="1"/>
      <x:c r="L17" s="1"/>
      <x:c r="M17" s="1"/>
      <x:c r="N17" s="1"/>
    </x:row>
    <x:row r="18">
      <x:c r="A18" s="1"/>
      <x:c r="B18" s="1"/>
      <x:c r="C18" s="27"/>
      <x:c r="D18" s="27"/>
      <x:c r="E18" s="27"/>
      <x:c r="F18" s="27"/>
      <x:c r="G18" s="27"/>
      <x:c r="H18" s="27"/>
      <x:c r="I18" s="27"/>
      <x:c r="J18" s="27"/>
      <x:c r="K18" s="1"/>
      <x:c r="L18" s="1"/>
      <x:c r="M18" s="1"/>
      <x:c r="N18" s="1"/>
    </x:row>
    <x:row r="19">
      <x:c r="A19" s="1"/>
      <x:c r="B19" s="1"/>
      <x:c r="C19" s="39" t="str">
        <x:v>Operating scale</x:v>
      </x:c>
      <x:c r="D19" s="39" t="n">
        <x:v>2027</x:v>
      </x:c>
      <x:c r="E19" s="39" t="n">
        <x:v>2028</x:v>
      </x:c>
      <x:c r="F19" s="39" t="n">
        <x:v>2029</x:v>
      </x:c>
      <x:c r="G19" s="27"/>
      <x:c r="H19" s="27"/>
      <x:c r="I19" s="27"/>
      <x:c r="J19" s="27"/>
      <x:c r="K19" s="1"/>
      <x:c r="L19" s="1"/>
      <x:c r="M19" s="1"/>
      <x:c r="N19" s="1"/>
    </x:row>
    <x:row r="20">
      <x:c r="A20" s="1"/>
      <x:c r="B20" s="1"/>
      <x:c r="C20" s="27" t="str">
        <x:v>Supported shipments (cans)</x:v>
      </x:c>
      <x:c r="D20" s="86" t="n">
        <x:v>95708</x:v>
      </x:c>
      <x:c r="E20" s="86" t="n">
        <x:v>237368</x:v>
      </x:c>
      <x:c r="F20" s="86" t="n">
        <x:v>413965</x:v>
      </x:c>
      <x:c r="G20" s="27"/>
      <x:c r="H20" s="27"/>
      <x:c r="I20" s="27"/>
      <x:c r="J20" s="27"/>
      <x:c r="K20" s="1"/>
      <x:c r="L20" s="1"/>
      <x:c r="M20" s="1"/>
      <x:c r="N20" s="1"/>
    </x:row>
    <x:row r="21">
      <x:c r="A21" s="1"/>
      <x:c r="B21" s="1"/>
      <x:c r="C21" s="27" t="str">
        <x:v>Ending active accounts</x:v>
      </x:c>
      <x:c r="D21" s="86" t="n">
        <x:v>128.9085323</x:v>
      </x:c>
      <x:c r="E21" s="86" t="n">
        <x:v>266.8691028</x:v>
      </x:c>
      <x:c r="F21" s="86" t="n">
        <x:v>432.2126696</x:v>
      </x:c>
      <x:c r="G21" s="27"/>
      <x:c r="H21" s="27"/>
      <x:c r="I21" s="27"/>
      <x:c r="J21" s="27"/>
      <x:c r="K21" s="1"/>
      <x:c r="L21" s="1"/>
      <x:c r="M21" s="1"/>
      <x:c r="N21" s="1"/>
    </x:row>
    <x:row r="22">
      <x:c r="A22" s="1"/>
      <x:c r="B22" s="1"/>
      <x:c r="C22" s="27" t="str">
        <x:v>Replenishment batches ordered</x:v>
      </x:c>
      <x:c r="D22" s="86" t="n">
        <x:v>5</x:v>
      </x:c>
      <x:c r="E22" s="86" t="n">
        <x:v>10</x:v>
      </x:c>
      <x:c r="F22" s="86" t="n">
        <x:v>9</x:v>
      </x:c>
      <x:c r="G22" s="27"/>
      <x:c r="H22" s="27"/>
      <x:c r="I22" s="27"/>
      <x:c r="J22" s="27"/>
      <x:c r="K22" s="1"/>
      <x:c r="L22" s="1"/>
      <x:c r="M22" s="1"/>
      <x:c r="N22" s="1"/>
    </x:row>
    <x:row r="23">
      <x:c r="A23" s="1"/>
      <x:c r="B23" s="1"/>
      <x:c r="C23" s="27"/>
      <x:c r="D23" s="27"/>
      <x:c r="E23" s="27"/>
      <x:c r="F23" s="27"/>
      <x:c r="G23" s="27"/>
      <x:c r="H23" s="27"/>
      <x:c r="I23" s="27"/>
      <x:c r="J23" s="27"/>
      <x:c r="K23" s="1"/>
      <x:c r="L23" s="1"/>
      <x:c r="M23" s="1"/>
      <x:c r="N23" s="1"/>
    </x:row>
    <x:row r="24">
      <x:c r="A24" s="1"/>
      <x:c r="B24" s="1"/>
      <x:c r="C24" s="27"/>
      <x:c r="D24" s="27"/>
      <x:c r="E24" s="27"/>
      <x:c r="F24" s="27"/>
      <x:c r="G24" s="27"/>
      <x:c r="H24" s="27"/>
      <x:c r="I24" s="27"/>
      <x:c r="J24" s="27"/>
      <x:c r="K24" s="1"/>
      <x:c r="L24" s="1"/>
      <x:c r="M24" s="1"/>
      <x:c r="N24" s="1"/>
    </x:row>
    <x:row r="25">
      <x:c r="A25" s="1"/>
      <x:c r="B25" s="1"/>
      <x:c r="C25" s="87" t="str">
        <x:v>Investor context</x:v>
      </x:c>
      <x:c r="D25" s="27"/>
      <x:c r="E25" s="27"/>
      <x:c r="F25" s="27"/>
      <x:c r="G25" s="27"/>
      <x:c r="H25" s="27"/>
      <x:c r="I25" s="27"/>
      <x:c r="J25" s="27"/>
      <x:c r="K25" s="1"/>
      <x:c r="L25" s="1"/>
      <x:c r="M25" s="1"/>
      <x:c r="N25" s="1"/>
    </x:row>
    <x:row r="26">
      <x:c r="A26" s="1"/>
      <x:c r="B26" s="1"/>
      <x:c r="C26" s="88" t="str">
        <x:v>Proposed financing</x:v>
      </x:c>
      <x:c r="D26" s="88" t="str">
        <x:v>$250,000</x:v>
      </x:c>
      <x:c r="E26" s="88" t="str">
        <x:v>Proposed equity</x:v>
      </x:c>
      <x:c r="F26" s="88" t="str">
        <x:v>20%</x:v>
      </x:c>
      <x:c r="G26" s="88" t="str">
        <x:v>Simple annual return</x:v>
      </x:c>
      <x:c r="H26" s="88" t="str">
        <x:v>7.5%</x:v>
      </x:c>
      <x:c r="I26" s="88" t="str"/>
      <x:c r="J26" s="88" t="str"/>
      <x:c r="K26" s="1"/>
      <x:c r="L26" s="1"/>
      <x:c r="M26" s="1"/>
      <x:c r="N26" s="1"/>
    </x:row>
    <x:row r="27">
      <x:c r="A27" s="1"/>
      <x:c r="B27" s="1"/>
      <x:c r="C27" s="89" t="str">
        <x:v>Founder option</x:v>
      </x:c>
      <x:c r="D27" s="89" t="str">
        <x:v>After 24 months</x:v>
      </x:c>
      <x:c r="E27" s="89" t="str">
        <x:v>Potential repurchase</x:v>
      </x:c>
      <x:c r="F27" s="89" t="str">
        <x:v>10 percentage points</x:v>
      </x:c>
      <x:c r="G27" s="89" t="str">
        <x:v>Valuation</x:v>
      </x:c>
      <x:c r="H27" s="89" t="str">
        <x:v>Independent at exercise</x:v>
      </x:c>
      <x:c r="I27" s="89" t="str"/>
      <x:c r="J27" s="89" t="str"/>
      <x:c r="K27" s="1"/>
      <x:c r="L27" s="1"/>
      <x:c r="M27" s="1"/>
      <x:c r="N27" s="1"/>
    </x:row>
    <x:row r="28">
      <x:c r="A28" s="1"/>
      <x:c r="B28" s="1"/>
      <x:c r="C28" s="89" t="str">
        <x:v>Launch market</x:v>
      </x:c>
      <x:c r="D28" s="89" t="str">
        <x:v>Houston, Texas</x:v>
      </x:c>
      <x:c r="E28" s="89" t="str">
        <x:v>Commercial launch</x:v>
      </x:c>
      <x:c r="F28" s="89" t="str">
        <x:v>January 2027</x:v>
      </x:c>
      <x:c r="G28" s="89" t="str">
        <x:v>Initial accounts</x:v>
      </x:c>
      <x:c r="H28" s="89" t="str">
        <x:v>25</x:v>
      </x:c>
      <x:c r="I28" s="89" t="str"/>
      <x:c r="J28" s="89" t="str"/>
      <x:c r="K28" s="1"/>
      <x:c r="L28" s="1"/>
      <x:c r="M28" s="1"/>
      <x:c r="N28" s="1"/>
    </x:row>
    <x:row r="29">
      <x:c r="A29" s="1"/>
      <x:c r="B29" s="1"/>
      <x:c r="C29" s="90" t="str">
        <x:v>External status</x:v>
      </x:c>
      <x:c r="D29" s="90" t="str">
        <x:v>HOLD</x:v>
      </x:c>
      <x:c r="E29" s="90" t="str">
        <x:v>Required before release</x:v>
      </x:c>
      <x:c r="F29" s="90" t="str">
        <x:v>Supplier documentation, accounting and legal review</x:v>
      </x:c>
      <x:c r="G29" s="90" t="str"/>
      <x:c r="H29" s="90" t="str"/>
      <x:c r="I29" s="90" t="str"/>
      <x:c r="J29" s="90" t="str"/>
      <x:c r="K29" s="1"/>
      <x:c r="L29" s="1"/>
      <x:c r="M29" s="1"/>
      <x:c r="N29" s="1"/>
    </x:row>
    <x:row r="30">
      <x:c r="A30" s="1"/>
      <x:c r="B30" s="1"/>
      <x:c r="C30" s="27"/>
      <x:c r="D30" s="27"/>
      <x:c r="E30" s="27"/>
      <x:c r="F30" s="27"/>
      <x:c r="G30" s="27"/>
      <x:c r="H30" s="27"/>
      <x:c r="I30" s="27"/>
      <x:c r="J30" s="27"/>
      <x:c r="K30" s="1"/>
      <x:c r="L30" s="1"/>
      <x:c r="M30" s="1"/>
      <x:c r="N30" s="1"/>
    </x:row>
    <x:row r="31">
      <x:c r="A31" s="1"/>
      <x:c r="B31" s="1"/>
      <x:c r="C31" s="27"/>
      <x:c r="D31" s="27"/>
      <x:c r="E31" s="27"/>
      <x:c r="F31" s="27"/>
      <x:c r="G31" s="27"/>
      <x:c r="H31" s="27"/>
      <x:c r="I31" s="27"/>
      <x:c r="J31" s="27"/>
      <x:c r="K31" s="1"/>
      <x:c r="L31" s="1"/>
      <x:c r="M31" s="1"/>
      <x:c r="N31" s="1"/>
    </x:row>
    <x:row r="32">
      <x:c r="A32" s="1"/>
      <x:c r="B32" s="1"/>
      <x:c r="C32" s="75" t="str">
        <x:v>Important: This summary presents the provisional Base Case management forecast from the verified Phase 2V model. COGS uses a $1.50 per-can planning assumption. Supplier costs, opening balances, financing classification, legal documentation, and accounting treatment require validation before external reliance.</x:v>
      </x:c>
      <x:c r="D32" s="75"/>
      <x:c r="E32" s="75"/>
      <x:c r="F32" s="75"/>
      <x:c r="G32" s="75"/>
      <x:c r="H32" s="75"/>
      <x:c r="I32" s="75"/>
      <x:c r="J32" s="75"/>
      <x:c r="K32" s="1"/>
      <x:c r="L32" s="1"/>
      <x:c r="M32" s="1"/>
      <x:c r="N32" s="1"/>
    </x:row>
    <x:row r="33">
      <x:c r="A33" s="1"/>
      <x:c r="B33" s="1"/>
      <x:c r="C33" s="75"/>
      <x:c r="D33" s="75"/>
      <x:c r="E33" s="75"/>
      <x:c r="F33" s="75"/>
      <x:c r="G33" s="75"/>
      <x:c r="H33" s="75"/>
      <x:c r="I33" s="75"/>
      <x:c r="J33" s="75"/>
      <x:c r="K33" s="1"/>
      <x:c r="L33" s="1"/>
      <x:c r="M33" s="1"/>
      <x:c r="N33" s="1"/>
    </x:row>
    <x:row r="34">
      <x:c r="A34" s="1"/>
      <x:c r="B34" s="1"/>
      <x:c r="C34" s="75"/>
      <x:c r="D34" s="75"/>
      <x:c r="E34" s="75"/>
      <x:c r="F34" s="75"/>
      <x:c r="G34" s="75"/>
      <x:c r="H34" s="75"/>
      <x:c r="I34" s="75"/>
      <x:c r="J34" s="75"/>
      <x:c r="K34" s="1"/>
      <x:c r="L34" s="1"/>
      <x:c r="M34" s="1"/>
      <x:c r="N34" s="1"/>
    </x:row>
    <x:row r="35">
      <x:c r="A35" s="1"/>
      <x:c r="B35" s="1"/>
      <x:c r="C35" s="75"/>
      <x:c r="D35" s="75"/>
      <x:c r="E35" s="75"/>
      <x:c r="F35" s="75"/>
      <x:c r="G35" s="75"/>
      <x:c r="H35" s="75"/>
      <x:c r="I35" s="75"/>
      <x:c r="J35" s="75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C2:J2"/>
    <x:mergeCell ref="C3:J3"/>
    <x:mergeCell ref="C5:D5"/>
    <x:mergeCell ref="E5:F5"/>
    <x:mergeCell ref="G5:H5"/>
    <x:mergeCell ref="I5:J5"/>
    <x:mergeCell ref="C6:D6"/>
    <x:mergeCell ref="E6:F6"/>
    <x:mergeCell ref="G6:H6"/>
    <x:mergeCell ref="I6:J6"/>
    <x:mergeCell ref="C25:J25"/>
    <x:mergeCell ref="C32:J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79B52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3" max="3" width="30" hidden="0" customWidth="1"/>
    <x:col min="4" max="4" width="15" hidden="0" customWidth="1"/>
    <x:col min="5" max="5" width="15" hidden="0" customWidth="1"/>
    <x:col min="6" max="6" width="15" hidden="0" customWidth="1"/>
    <x:col min="7" max="7" width="3" hidden="0" customWidth="1"/>
    <x:col min="8" max="8" width="25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26" t="str">
        <x:v>Base Case financial forecast</x:v>
      </x:c>
      <x:c r="D2" s="26" t="n">
        <x:v>2027</x:v>
      </x:c>
      <x:c r="E2" s="26" t="n">
        <x:v>2028</x:v>
      </x:c>
      <x:c r="F2" s="26" t="n">
        <x:v>2029</x:v>
      </x:c>
      <x:c r="G2" s="27"/>
      <x:c r="H2" s="28" t="str">
        <x:v>Scenario comparison</x:v>
      </x:c>
      <x:c r="I2" s="28" t="str">
        <x:v>2027</x:v>
      </x:c>
      <x:c r="J2" s="28" t="str">
        <x:v>2028</x:v>
      </x:c>
      <x:c r="K2" s="28" t="str">
        <x:v>2029</x:v>
      </x:c>
      <x:c r="L2" s="1"/>
      <x:c r="M2" s="1"/>
      <x:c r="N2" s="1"/>
    </x:row>
    <x:row r="3">
      <x:c r="A3" s="1"/>
      <x:c r="B3" s="1"/>
      <x:c r="C3" s="27"/>
      <x:c r="D3" s="27"/>
      <x:c r="E3" s="27"/>
      <x:c r="F3" s="27"/>
      <x:c r="G3" s="27"/>
      <x:c r="H3" s="27" t="str">
        <x:v>Base net revenue</x:v>
      </x:c>
      <x:c r="I3" s="29" t="n">
        <x:v>278438.35</x:v>
      </x:c>
      <x:c r="J3" s="29" t="n">
        <x:v>690581.6</x:v>
      </x:c>
      <x:c r="K3" s="29" t="n">
        <x:v>1204371.05</x:v>
      </x:c>
      <x:c r="L3" s="1"/>
      <x:c r="M3" s="1"/>
      <x:c r="N3" s="1"/>
    </x:row>
    <x:row r="4">
      <x:c r="A4" s="1"/>
      <x:c r="B4" s="1"/>
      <x:c r="C4" s="30" t="str">
        <x:v>Gross revenue</x:v>
      </x:c>
      <x:c r="D4" s="31" t="n">
        <x:v>293093</x:v>
      </x:c>
      <x:c r="E4" s="31" t="n">
        <x:v>726928</x:v>
      </x:c>
      <x:c r="F4" s="31" t="n">
        <x:v>1267759</x:v>
      </x:c>
      <x:c r="G4" s="27"/>
      <x:c r="H4" s="27" t="str">
        <x:v>Downside net revenue</x:v>
      </x:c>
      <x:c r="I4" s="29" t="n">
        <x:v>134213.15</x:v>
      </x:c>
      <x:c r="J4" s="29" t="n">
        <x:v>272106.6</x:v>
      </x:c>
      <x:c r="K4" s="29" t="n">
        <x:v>438371.8</x:v>
      </x:c>
      <x:c r="L4" s="1"/>
      <x:c r="M4" s="1"/>
      <x:c r="N4" s="1"/>
    </x:row>
    <x:row r="5">
      <x:c r="A5" s="1"/>
      <x:c r="B5" s="1"/>
      <x:c r="C5" s="32" t="str">
        <x:v>Gross-to-net deductions</x:v>
      </x:c>
      <x:c r="D5" s="33" t="n">
        <x:v>14654.65</x:v>
      </x:c>
      <x:c r="E5" s="33" t="n">
        <x:v>36346.4</x:v>
      </x:c>
      <x:c r="F5" s="33" t="n">
        <x:v>63387.95</x:v>
      </x:c>
      <x:c r="G5" s="27"/>
      <x:c r="H5" s="27" t="str">
        <x:v>Upside net revenue</x:v>
      </x:c>
      <x:c r="I5" s="29" t="n">
        <x:v>494925.3</x:v>
      </x:c>
      <x:c r="J5" s="29" t="n">
        <x:v>1364513.5</x:v>
      </x:c>
      <x:c r="K5" s="29" t="n">
        <x:v>2509395.55</x:v>
      </x:c>
      <x:c r="L5" s="1"/>
      <x:c r="M5" s="1"/>
      <x:c r="N5" s="1"/>
    </x:row>
    <x:row r="6">
      <x:c r="A6" s="1"/>
      <x:c r="B6" s="1"/>
      <x:c r="C6" s="32" t="str">
        <x:v>Net revenue</x:v>
      </x:c>
      <x:c r="D6" s="33" t="n">
        <x:v>278438.35</x:v>
      </x:c>
      <x:c r="E6" s="33" t="n">
        <x:v>690581.6</x:v>
      </x:c>
      <x:c r="F6" s="33" t="n">
        <x:v>1204371.05</x:v>
      </x:c>
      <x:c r="G6" s="27"/>
      <x:c r="H6" s="27" t="str">
        <x:v>Base EBITDA</x:v>
      </x:c>
      <x:c r="I6" s="29" t="n">
        <x:v>-21123.65</x:v>
      </x:c>
      <x:c r="J6" s="29" t="n">
        <x:v>149129.6</x:v>
      </x:c>
      <x:c r="K6" s="29" t="n">
        <x:v>367603.55</x:v>
      </x:c>
      <x:c r="L6" s="1"/>
      <x:c r="M6" s="1"/>
      <x:c r="N6" s="1"/>
    </x:row>
    <x:row r="7">
      <x:c r="A7" s="1"/>
      <x:c r="B7" s="1"/>
      <x:c r="C7" s="32" t="str">
        <x:v>Provisional COGS</x:v>
      </x:c>
      <x:c r="D7" s="33" t="n">
        <x:v>143562</x:v>
      </x:c>
      <x:c r="E7" s="33" t="n">
        <x:v>356052</x:v>
      </x:c>
      <x:c r="F7" s="33" t="n">
        <x:v>620947.5</x:v>
      </x:c>
      <x:c r="G7" s="27"/>
      <x:c r="H7" s="27" t="str">
        <x:v>Downside EBITDA</x:v>
      </x:c>
      <x:c r="I7" s="29" t="n">
        <x:v>-90989.35</x:v>
      </x:c>
      <x:c r="J7" s="29" t="n">
        <x:v>-53588.4</x:v>
      </x:c>
      <x:c r="K7" s="29" t="n">
        <x:v>-3468.2</x:v>
      </x:c>
      <x:c r="L7" s="1"/>
      <x:c r="M7" s="1"/>
      <x:c r="N7" s="1"/>
    </x:row>
    <x:row r="8">
      <x:c r="A8" s="1"/>
      <x:c r="B8" s="1"/>
      <x:c r="C8" s="34" t="str">
        <x:v>Gross profit</x:v>
      </x:c>
      <x:c r="D8" s="35" t="n">
        <x:v>134876.35</x:v>
      </x:c>
      <x:c r="E8" s="35" t="n">
        <x:v>334529.6</x:v>
      </x:c>
      <x:c r="F8" s="35" t="n">
        <x:v>583423.55</x:v>
      </x:c>
      <x:c r="G8" s="27"/>
      <x:c r="H8" s="27"/>
      <x:c r="I8" s="27"/>
      <x:c r="J8" s="27"/>
      <x:c r="K8" s="27"/>
      <x:c r="L8" s="1"/>
      <x:c r="M8" s="1"/>
      <x:c r="N8" s="1"/>
    </x:row>
    <x:row r="9">
      <x:c r="A9" s="1"/>
      <x:c r="B9" s="1"/>
      <x:c r="C9" s="32" t="str">
        <x:v>Gross margin</x:v>
      </x:c>
      <x:c r="D9" s="36" t="n">
        <x:v>0.4844029208</x:v>
      </x:c>
      <x:c r="E9" s="36" t="n">
        <x:v>0.4844171927</x:v>
      </x:c>
      <x:c r="F9" s="36" t="n">
        <x:v>0.4844217652</x:v>
      </x:c>
      <x:c r="G9" s="27"/>
      <x:c r="H9" s="27"/>
      <x:c r="I9" s="27"/>
      <x:c r="J9" s="27"/>
      <x:c r="K9" s="27"/>
      <x:c r="L9" s="1"/>
      <x:c r="M9" s="1"/>
      <x:c r="N9" s="1"/>
    </x:row>
    <x:row r="10">
      <x:c r="A10" s="1"/>
      <x:c r="B10" s="1"/>
      <x:c r="C10" s="32" t="str">
        <x:v>Operating expenses</x:v>
      </x:c>
      <x:c r="D10" s="33" t="n">
        <x:v>156000</x:v>
      </x:c>
      <x:c r="E10" s="33" t="n">
        <x:v>185400</x:v>
      </x:c>
      <x:c r="F10" s="33" t="n">
        <x:v>215820</x:v>
      </x:c>
      <x:c r="G10" s="27"/>
      <x:c r="H10" s="27"/>
      <x:c r="I10" s="27"/>
      <x:c r="J10" s="27"/>
      <x:c r="K10" s="27"/>
      <x:c r="L10" s="1"/>
      <x:c r="M10" s="1"/>
      <x:c r="N10" s="1"/>
    </x:row>
    <x:row r="11">
      <x:c r="A11" s="1"/>
      <x:c r="B11" s="1"/>
      <x:c r="C11" s="34" t="str">
        <x:v>Preliminary EBITDA</x:v>
      </x:c>
      <x:c r="D11" s="35" t="n">
        <x:v>-21123.65</x:v>
      </x:c>
      <x:c r="E11" s="35" t="n">
        <x:v>149129.6</x:v>
      </x:c>
      <x:c r="F11" s="35" t="n">
        <x:v>367603.55</x:v>
      </x:c>
      <x:c r="G11" s="27"/>
      <x:c r="H11" s="27"/>
      <x:c r="I11" s="27"/>
      <x:c r="J11" s="27"/>
      <x:c r="K11" s="27"/>
      <x:c r="L11" s="1"/>
      <x:c r="M11" s="1"/>
      <x:c r="N11" s="1"/>
    </x:row>
    <x:row r="12">
      <x:c r="A12" s="1"/>
      <x:c r="B12" s="1"/>
      <x:c r="C12" s="34" t="str">
        <x:v>EBITDA margin</x:v>
      </x:c>
      <x:c r="D12" s="37" t="n">
        <x:v>-0.0758647291</x:v>
      </x:c>
      <x:c r="E12" s="37" t="n">
        <x:v>0.215947833</x:v>
      </x:c>
      <x:c r="F12" s="37" t="n">
        <x:v>0.3052244987</x:v>
      </x:c>
      <x:c r="G12" s="27"/>
      <x:c r="H12" s="27"/>
      <x:c r="I12" s="27"/>
      <x:c r="J12" s="27"/>
      <x:c r="K12" s="27"/>
      <x:c r="L12" s="1"/>
      <x:c r="M12" s="1"/>
      <x:c r="N12" s="1"/>
    </x:row>
    <x:row r="13">
      <x:c r="A13" s="1"/>
      <x:c r="B13" s="1"/>
      <x:c r="C13" s="32" t="str">
        <x:v>Supported shipments (cans)</x:v>
      </x:c>
      <x:c r="D13" s="38" t="n">
        <x:v>95708</x:v>
      </x:c>
      <x:c r="E13" s="38" t="n">
        <x:v>237368</x:v>
      </x:c>
      <x:c r="F13" s="38" t="n">
        <x:v>413965</x:v>
      </x:c>
      <x:c r="G13" s="27"/>
      <x:c r="H13" s="27"/>
      <x:c r="I13" s="27"/>
      <x:c r="J13" s="27"/>
      <x:c r="K13" s="27"/>
      <x:c r="L13" s="1"/>
      <x:c r="M13" s="1"/>
      <x:c r="N13" s="1"/>
    </x:row>
    <x:row r="14">
      <x:c r="A14" s="1"/>
      <x:c r="B14" s="1"/>
      <x:c r="C14" s="32" t="str">
        <x:v>Ending active accounts</x:v>
      </x:c>
      <x:c r="D14" s="38" t="n">
        <x:v>128.9085323</x:v>
      </x:c>
      <x:c r="E14" s="38" t="n">
        <x:v>266.8691028</x:v>
      </x:c>
      <x:c r="F14" s="38" t="n">
        <x:v>432.2126696</x:v>
      </x:c>
      <x:c r="G14" s="27"/>
      <x:c r="H14" s="27"/>
      <x:c r="I14" s="27"/>
      <x:c r="J14" s="27"/>
      <x:c r="K14" s="27"/>
      <x:c r="L14" s="1"/>
      <x:c r="M14" s="1"/>
      <x:c r="N14" s="1"/>
    </x:row>
    <x:row r="15">
      <x:c r="A15" s="1"/>
      <x:c r="B15" s="1"/>
      <x:c r="C15" s="32" t="str">
        <x:v>Replenishment batches ordered</x:v>
      </x:c>
      <x:c r="D15" s="38" t="n">
        <x:v>5</x:v>
      </x:c>
      <x:c r="E15" s="38" t="n">
        <x:v>10</x:v>
      </x:c>
      <x:c r="F15" s="38" t="n">
        <x:v>9</x:v>
      </x:c>
      <x:c r="G15" s="27"/>
      <x:c r="H15" s="27"/>
      <x:c r="I15" s="27"/>
      <x:c r="J15" s="27"/>
      <x:c r="K15" s="27"/>
      <x:c r="L15" s="1"/>
      <x:c r="M15" s="1"/>
      <x:c r="N15" s="1"/>
    </x:row>
    <x:row r="16">
      <x:c r="A16" s="1"/>
      <x:c r="B16" s="1"/>
      <x:c r="C16" s="27"/>
      <x:c r="D16" s="27"/>
      <x:c r="E16" s="27"/>
      <x:c r="F16" s="27"/>
      <x:c r="G16" s="27"/>
      <x:c r="H16" s="27"/>
      <x:c r="I16" s="27"/>
      <x:c r="J16" s="27"/>
      <x:c r="K16" s="27"/>
      <x:c r="L16" s="1"/>
      <x:c r="M16" s="1"/>
      <x:c r="N16" s="1"/>
    </x:row>
    <x:row r="17">
      <x:c r="A17" s="1"/>
      <x:c r="B17" s="1"/>
      <x:c r="C17" s="39" t="str">
        <x:v>Three-year totals / ending values</x:v>
      </x:c>
      <x:c r="D17" s="39" t="n">
        <x:v>2027</x:v>
      </x:c>
      <x:c r="E17" s="39" t="n">
        <x:v>2028</x:v>
      </x:c>
      <x:c r="F17" s="39" t="n">
        <x:v>2029</x:v>
      </x:c>
      <x:c r="G17" s="27"/>
      <x:c r="H17" s="27"/>
      <x:c r="I17" s="27"/>
      <x:c r="J17" s="27"/>
      <x:c r="K17" s="27"/>
      <x:c r="L17" s="1"/>
      <x:c r="M17" s="1"/>
      <x:c r="N17" s="1"/>
    </x:row>
    <x:row r="18">
      <x:c r="A18" s="1"/>
      <x:c r="B18" s="1"/>
      <x:c r="C18" s="27" t="str">
        <x:v>Cumulative net revenue</x:v>
      </x:c>
      <x:c r="D18" s="29" t="n">
        <x:v>278438.35</x:v>
      </x:c>
      <x:c r="E18" s="29" t="n">
        <x:v>969019.95</x:v>
      </x:c>
      <x:c r="F18" s="29" t="n">
        <x:v>2173391</x:v>
      </x:c>
      <x:c r="G18" s="27"/>
      <x:c r="H18" s="27"/>
      <x:c r="I18" s="27"/>
      <x:c r="J18" s="27"/>
      <x:c r="K18" s="27"/>
      <x:c r="L18" s="1"/>
      <x:c r="M18" s="1"/>
      <x:c r="N18" s="1"/>
    </x:row>
    <x:row r="19">
      <x:c r="A19" s="1"/>
      <x:c r="B19" s="1"/>
      <x:c r="C19" s="27" t="str">
        <x:v>Cumulative EBITDA</x:v>
      </x:c>
      <x:c r="D19" s="29" t="n">
        <x:v>-21123.65</x:v>
      </x:c>
      <x:c r="E19" s="29" t="n">
        <x:v>128005.95</x:v>
      </x:c>
      <x:c r="F19" s="29" t="n">
        <x:v>495609.5</x:v>
      </x:c>
      <x:c r="G19" s="27"/>
      <x:c r="H19" s="27"/>
      <x:c r="I19" s="27"/>
      <x:c r="J19" s="27"/>
      <x:c r="K19" s="27"/>
      <x:c r="L19" s="1"/>
      <x:c r="M19" s="1"/>
      <x:c r="N19" s="1"/>
    </x:row>
    <x:row r="20">
      <x:c r="A20" s="1"/>
      <x:c r="B20" s="1"/>
      <x:c r="C20" s="27" t="str">
        <x:v>Year-end funding after reserve</x:v>
      </x:c>
      <x:c r="D20" s="29" t="n">
        <x:v>81111.645</x:v>
      </x:c>
      <x:c r="E20" s="29" t="n">
        <x:v>100398.395</x:v>
      </x:c>
      <x:c r="F20" s="29" t="n">
        <x:v>545851.845</x:v>
      </x:c>
      <x:c r="G20" s="27"/>
      <x:c r="H20" s="27"/>
      <x:c r="I20" s="27"/>
      <x:c r="J20" s="27"/>
      <x:c r="K20" s="27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0A36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30" hidden="0" customWidth="1"/>
    <x:col min="4" max="4" width="34" hidden="0" customWidth="1"/>
    <x:col min="5" max="5" width="42" hidden="0" customWidth="1"/>
    <x:col min="6" max="6" width="2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40" t="str">
        <x:v>Base Case assumptions and disclosures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1"/>
      <x:c r="C5" s="25" t="str">
        <x:v>Commercial assumption</x:v>
      </x:c>
      <x:c r="D5" s="25" t="str">
        <x:v>Base Case</x:v>
      </x:c>
      <x:c r="E5" s="25" t="str">
        <x:v>Status</x:v>
      </x:c>
      <x:c r="F5" s="25" t="str">
        <x:v>Source</x:v>
      </x:c>
      <x:c r="G5" s="1"/>
      <x:c r="H5" s="1"/>
      <x:c r="I5" s="1"/>
      <x:c r="J5" s="1"/>
      <x:c r="K5" s="1"/>
      <x:c r="L5" s="1"/>
      <x:c r="M5" s="1"/>
      <x:c r="N5" s="1"/>
    </x:row>
    <x:row r="6">
      <x:c r="A6" s="1"/>
      <x:c r="B6" s="1"/>
      <x:c r="C6" s="59" t="str">
        <x:v>Launch market</x:v>
      </x:c>
      <x:c r="D6" s="59" t="str">
        <x:v>Houston, Texas</x:v>
      </x:c>
      <x:c r="E6" s="59" t="str">
        <x:v>Approved</x:v>
      </x:c>
      <x:c r="F6" s="59" t="str">
        <x:v>Phase 2V model</x:v>
      </x:c>
      <x:c r="G6" s="1"/>
      <x:c r="H6" s="1"/>
      <x:c r="I6" s="1"/>
      <x:c r="J6" s="1"/>
      <x:c r="K6" s="1"/>
      <x:c r="L6" s="1"/>
      <x:c r="M6" s="1"/>
      <x:c r="N6" s="1"/>
    </x:row>
    <x:row r="7">
      <x:c r="A7" s="1"/>
      <x:c r="B7" s="1"/>
      <x:c r="C7" s="61" t="str">
        <x:v>Launch month</x:v>
      </x:c>
      <x:c r="D7" s="61" t="str">
        <x:v>January 2027</x:v>
      </x:c>
      <x:c r="E7" s="61" t="str">
        <x:v>Approved</x:v>
      </x:c>
      <x:c r="F7" s="61" t="str">
        <x:v>Phase 2V model</x:v>
      </x:c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1"/>
      <x:c r="C8" s="61" t="str">
        <x:v>Opening accounts</x:v>
      </x:c>
      <x:c r="D8" s="61" t="n">
        <x:v>25</x:v>
      </x:c>
      <x:c r="E8" s="61" t="str">
        <x:v>Approved</x:v>
      </x:c>
      <x:c r="F8" s="61" t="str">
        <x:v>Phase 2V model</x:v>
      </x:c>
      <x:c r="G8" s="1"/>
      <x:c r="H8" s="1"/>
      <x:c r="I8" s="1"/>
      <x:c r="J8" s="1"/>
      <x:c r="K8" s="1"/>
      <x:c r="L8" s="1"/>
      <x:c r="M8" s="1"/>
      <x:c r="N8" s="1"/>
    </x:row>
    <x:row r="9">
      <x:c r="A9" s="1"/>
      <x:c r="B9" s="1"/>
      <x:c r="C9" s="61" t="str">
        <x:v>New accounts per month in 2027</x:v>
      </x:c>
      <x:c r="D9" s="61" t="n">
        <x:v>10</x:v>
      </x:c>
      <x:c r="E9" s="61" t="str">
        <x:v>Approved</x:v>
      </x:c>
      <x:c r="F9" s="61" t="str">
        <x:v>Phase 2V model</x:v>
      </x:c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"/>
      <x:c r="C10" s="61" t="str">
        <x:v>Monthly account loss</x:v>
      </x:c>
      <x:c r="D10" s="62" t="n">
        <x:v>0.02</x:v>
      </x:c>
      <x:c r="E10" s="61" t="str">
        <x:v>Provisional</x:v>
      </x:c>
      <x:c r="F10" s="61" t="str">
        <x:v>Phase 2V model</x:v>
      </x:c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1"/>
      <x:c r="C11" s="61" t="str">
        <x:v>Lost-account reactivation</x:v>
      </x:c>
      <x:c r="D11" s="62" t="n">
        <x:v>0.1</x:v>
      </x:c>
      <x:c r="E11" s="61" t="str">
        <x:v>Provisional</x:v>
      </x:c>
      <x:c r="F11" s="61" t="str">
        <x:v>Phase 2V model</x:v>
      </x:c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61" t="str">
        <x:v>Velocity</x:v>
      </x:c>
      <x:c r="D12" s="61" t="str">
        <x:v>1 case/account/week</x:v>
      </x:c>
      <x:c r="E12" s="61" t="str">
        <x:v>Approved</x:v>
      </x:c>
      <x:c r="F12" s="61" t="str">
        <x:v>Phase 2V model</x:v>
      </x:c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61" t="str">
        <x:v>Selling weeks per month</x:v>
      </x:c>
      <x:c r="D13" s="61" t="n">
        <x:v>4</x:v>
      </x:c>
      <x:c r="E13" s="61" t="str">
        <x:v>Approved</x:v>
      </x:c>
      <x:c r="F13" s="61" t="str">
        <x:v>Phase 2V model</x:v>
      </x:c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61" t="str">
        <x:v>Modeled case</x:v>
      </x:c>
      <x:c r="D14" s="61" t="str">
        <x:v>24 cans</x:v>
      </x:c>
      <x:c r="E14" s="61" t="str">
        <x:v>Approved</x:v>
      </x:c>
      <x:c r="F14" s="61" t="str">
        <x:v>Phase 2V model</x:v>
      </x:c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61" t="str">
        <x:v>Flavor mix</x:v>
      </x:c>
      <x:c r="D15" s="61" t="str">
        <x:v>50% Orange / 25% Pineapple / 25% Peach</x:v>
      </x:c>
      <x:c r="E15" s="61" t="str">
        <x:v>Approved</x:v>
      </x:c>
      <x:c r="F15" s="61" t="str">
        <x:v>Phase 2V model</x:v>
      </x:c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61" t="str">
        <x:v>Format mix</x:v>
      </x:c>
      <x:c r="D16" s="61" t="str">
        <x:v>75% loose / 25% four-pack by cans</x:v>
      </x:c>
      <x:c r="E16" s="61" t="str">
        <x:v>Approved</x:v>
      </x:c>
      <x:c r="F16" s="61" t="str">
        <x:v>Phase 2V model</x:v>
      </x:c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61" t="str">
        <x:v>Gross-to-net deductions</x:v>
      </x:c>
      <x:c r="D17" s="62" t="n">
        <x:v>0.05</x:v>
      </x:c>
      <x:c r="E17" s="61" t="str">
        <x:v>Provisional</x:v>
      </x:c>
      <x:c r="F17" s="61" t="str">
        <x:v>Phase 2V model</x:v>
      </x:c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68" t="str">
        <x:v>Planning COGS per can</x:v>
      </x:c>
      <x:c r="D18" s="91" t="n">
        <x:v>1.5</x:v>
      </x:c>
      <x:c r="E18" s="68" t="str">
        <x:v>Provisional</x:v>
      </x:c>
      <x:c r="F18" s="68" t="str">
        <x:v>Phase 2V model</x:v>
      </x:c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23" t="str">
        <x:v>Disclosure</x:v>
      </x:c>
      <x:c r="D21" s="23" t="str">
        <x:v>Current status</x:v>
      </x:c>
      <x:c r="E21" s="23" t="str">
        <x:v>Required action</x:v>
      </x:c>
      <x:c r="F21" s="23" t="str">
        <x:v>Release impact</x:v>
      </x:c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69" t="str">
        <x:v>Supplier pricing</x:v>
      </x:c>
      <x:c r="D22" s="69" t="str">
        <x:v>Incomplete</x:v>
      </x:c>
      <x:c r="E22" s="69" t="str">
        <x:v>Obtain final three-SKU quotes</x:v>
      </x:c>
      <x:c r="F22" s="69" t="str">
        <x:v>External release hold</x:v>
      </x:c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70" t="str">
        <x:v>Opening balances</x:v>
      </x:c>
      <x:c r="D23" s="70" t="str">
        <x:v>Incomplete</x:v>
      </x:c>
      <x:c r="E23" s="70" t="str">
        <x:v>Validate opening cash, AR, AP and inventory value</x:v>
      </x:c>
      <x:c r="F23" s="70" t="str">
        <x:v>Statements provisional</x:v>
      </x:c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70" t="str">
        <x:v>Financing classification</x:v>
      </x:c>
      <x:c r="D24" s="70" t="str">
        <x:v>Unresolved</x:v>
      </x:c>
      <x:c r="E24" s="70" t="str">
        <x:v>Complete legal and accounting review</x:v>
      </x:c>
      <x:c r="F24" s="70" t="str">
        <x:v>Cash and balance sheet provisional</x:v>
      </x:c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70" t="str">
        <x:v>Worker classification</x:v>
      </x:c>
      <x:c r="D25" s="70" t="str">
        <x:v>Unresolved</x:v>
      </x:c>
      <x:c r="E25" s="70" t="str">
        <x:v>Confirm payroll and contractor treatment</x:v>
      </x:c>
      <x:c r="F25" s="70" t="str">
        <x:v>Operating expense provisional</x:v>
      </x:c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70" t="str">
        <x:v>Product authorization</x:v>
      </x:c>
      <x:c r="D26" s="70" t="str">
        <x:v>Pending</x:v>
      </x:c>
      <x:c r="E26" s="70" t="str">
        <x:v>Tank Space formula and ABV validation</x:v>
      </x:c>
      <x:c r="F26" s="70" t="str">
        <x:v>Production release blocked</x:v>
      </x:c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71" t="str">
        <x:v>Investor materials</x:v>
      </x:c>
      <x:c r="D27" s="71" t="str">
        <x:v>Internal preview</x:v>
      </x:c>
      <x:c r="E27" s="71" t="str">
        <x:v>Approve final assets and contact information</x:v>
      </x:c>
      <x:c r="F27" s="71" t="str">
        <x:v>External release hold</x:v>
      </x:c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C2:J2"/>
  </x:mergeCells>
  <x:pageMargins left="0.7" right="0.7" top="0.75" bottom="0.75" header="0.3" footer="0.3"/>
</x:worksheet>
</file>